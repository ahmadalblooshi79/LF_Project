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B86CE8C7-9B76-4419-AD8E-B2D08A9A59F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3" i="2"/>
  <c r="H23" i="2"/>
  <c r="G24" i="2"/>
  <c r="H24" i="2"/>
  <c r="G25" i="2"/>
  <c r="H25" i="2"/>
  <c r="G27" i="2"/>
  <c r="H27" i="2"/>
  <c r="G28" i="2"/>
  <c r="H28" i="2"/>
  <c r="G30" i="2"/>
  <c r="H30" i="2"/>
  <c r="G31" i="2"/>
  <c r="H31" i="2"/>
  <c r="G32" i="2"/>
  <c r="H32" i="2"/>
  <c r="G33" i="2"/>
  <c r="H33" i="2"/>
  <c r="F34" i="2"/>
  <c r="E34" i="2"/>
  <c r="E35" i="2"/>
  <c r="E36" i="2"/>
</calcChain>
</file>

<file path=xl/sharedStrings.xml><?xml version="1.0" encoding="utf-8"?>
<sst xmlns="http://schemas.openxmlformats.org/spreadsheetml/2006/main" count="233" uniqueCount="181">
  <si>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</si>
  <si>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</si>
  <si>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</si>
  <si>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</si>
  <si>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</si>
  <si>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</si>
  <si>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</si>
  <si>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</si>
  <si>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</si>
  <si>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</si>
  <si>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</si>
  <si>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</si>
  <si>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</si>
  <si>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</si>
  <si>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</si>
  <si>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</si>
  <si>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</si>
  <si>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</si>
  <si>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</si>
  <si>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</si>
  <si>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</si>
  <si>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</si>
  <si>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</si>
  <si>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</si>
  <si>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</si>
  <si>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</si>
  <si>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</si>
  <si>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</si>
  <si>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</si>
  <si>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</si>
  <si>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</si>
  <si>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</si>
  <si>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</si>
  <si>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</si>
  <si>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</si>
  <si>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</si>
  <si>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</si>
  <si>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</si>
  <si>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</si>
  <si>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</si>
  <si>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</si>
  <si>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</si>
  <si>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</si>
  <si>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</si>
  <si>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</si>
  <si>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</si>
  <si>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</si>
  <si>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</si>
  <si>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</si>
  <si>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</si>
  <si>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</si>
  <si>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</si>
  <si>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</si>
  <si>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</si>
  <si>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</si>
  <si>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</si>
  <si>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</si>
  <si>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</si>
  <si>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</si>
  <si>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</si>
  <si>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</si>
  <si>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</si>
  <si>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</si>
  <si>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</si>
  <si>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</si>
  <si>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</si>
  <si>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</si>
  <si>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</si>
  <si>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</si>
  <si>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</si>
  <si>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</si>
  <si>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</si>
  <si>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</si>
  <si>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</si>
  <si>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</si>
  <si>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</si>
  <si>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</si>
  <si>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</si>
  <si>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</si>
  <si>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</si>
  <si>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</si>
  <si>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</si>
  <si>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</si>
  <si>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</si>
  <si>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</si>
  <si>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</si>
  <si>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</si>
  <si>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</si>
  <si>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</si>
  <si>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</si>
  <si>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</si>
  <si>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</si>
  <si>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</si>
  <si>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</si>
  <si>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</si>
  <si>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</si>
  <si>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</si>
  <si>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</si>
  <si>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</si>
  <si>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</si>
  <si>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</si>
  <si>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</si>
  <si>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</si>
  <si>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</si>
  <si>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</si>
  <si>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</si>
  <si>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</si>
  <si>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</si>
  <si>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</si>
  <si>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</si>
  <si>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</si>
  <si>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</si>
  <si>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</si>
  <si>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</si>
  <si>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</si>
  <si>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</si>
  <si>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</si>
  <si>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</si>
  <si>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</si>
  <si>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</si>
  <si>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</si>
  <si>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</si>
  <si>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</si>
  <si>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</si>
  <si>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</si>
  <si>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</si>
  <si>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</si>
  <si>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</si>
  <si>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</si>
  <si>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</si>
  <si>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</si>
  <si>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</si>
  <si>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</si>
  <si>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</si>
  <si>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</si>
  <si>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</si>
  <si>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</si>
  <si>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</si>
  <si>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</si>
  <si>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</si>
  <si>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</si>
  <si>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</si>
  <si>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</si>
  <si>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</si>
  <si>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</si>
  <si>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</si>
  <si>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</si>
  <si>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</si>
  <si>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</si>
  <si>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</si>
  <si>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</si>
  <si>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</si>
  <si>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</si>
  <si>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</si>
  <si>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</si>
  <si>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</si>
  <si>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</si>
  <si>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</si>
  <si>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</si>
  <si>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</si>
  <si>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</si>
  <si>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</si>
  <si>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</si>
  <si>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</si>
  <si>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</si>
  <si>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</si>
  <si>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</si>
  <si>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</si>
  <si>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</si>
  <si>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</si>
  <si>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</si>
  <si>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</si>
  <si>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</si>
  <si>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</si>
  <si>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</si>
  <si>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</si>
  <si>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</si>
  <si>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</si>
  <si>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</si>
  <si>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</si>
  <si>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تقييم التنقل الإداري لوحدات المناورة - تمرين جاهزية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</si>
</sst>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3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239138</xdr:colOff>
      <xdr:row>37</xdr:row>
      <xdr:rowOff>45868</xdr:rowOff>
    </xdr:from>
    <xdr:to>
      <xdr:col>9</xdr:col>
      <xdr:colOff>79828</xdr:colOff>
      <xdr:row>37</xdr:row>
      <xdr:rowOff>503428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5ED46BE-DF99-F141-457F-E15D9C4C9FC5}"/>
                </a:ext>
              </a:extLst>
            </xdr14:cNvPr>
            <xdr14:cNvContentPartPr/>
          </xdr14:nvContentPartPr>
          <xdr14:nvPr macro=""/>
          <xdr14:xfrm>
            <a:off x="10422968548" y="18051480"/>
            <a:ext cx="1803960" cy="4575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5ED46BE-DF99-F141-457F-E15D9C4C9FC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2962428" y="18045360"/>
              <a:ext cx="1816200" cy="46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222995</xdr:colOff>
      <xdr:row>37</xdr:row>
      <xdr:rowOff>423868</xdr:rowOff>
    </xdr:from>
    <xdr:to>
      <xdr:col>7</xdr:col>
      <xdr:colOff>251075</xdr:colOff>
      <xdr:row>37</xdr:row>
      <xdr:rowOff>444028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C0DC10E-35B0-BEF1-8B95-0967B64931E7}"/>
                </a:ext>
              </a:extLst>
            </xdr14:cNvPr>
            <xdr14:cNvContentPartPr/>
          </xdr14:nvContentPartPr>
          <xdr14:nvPr macro=""/>
          <xdr14:xfrm>
            <a:off x="10424106148" y="18429480"/>
            <a:ext cx="28080" cy="201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C0DC10E-35B0-BEF1-8B95-0967B64931E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4100028" y="18423360"/>
              <a:ext cx="40320" cy="32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4:33:16.6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3726 1135 10650,'0'0'0,"-9"-5"1872,-1-6-1176,0 7-200,10 4-496,-3-9 409,-6 8-1,8-3-8,-3 0-40,1 0-24,0 0-88,3 4-248,-4-5 208,2 2 0,0-7-48,-1 8 24,1-3-40,-1 0-40,3 5-104,-2-5 96,1-4-8,-2 6-8,2-2-64,0-4 16,0 5-40,1 4 8,0-5-40,0-5 40,0 6-40,0-7-32,0 8 40,3-9-16,-3 12 48,3-5-48,0-7 24,1 2-40,-1 1 24,6 4-16,-6-9 24,-3 14 32,10-11-24,-1 0-56,1 0 48,-2 0-48,3 1 24,1-2 8,-12 12 48,12-12-56,2 0 32,-1 0-16,0-1 56,2-1 0,0 1-48,-15 13 32,15-14-40,0 1 0,1-2 16,-2 0 16,1 0 24,1 0-24,-16 15 8,14-15 32,2 2-32,-1 0-8,-2 0 16,2 0-16,-1 1 16,-14 12-8,15-11 0,-2 0-8,-1 6-16,0-8 24,-2 8 8,0-7 16,-10 12-24,3-5 24,10-5-16,-11 6 8,7-1 40,-9 1 0,2-1 24,-2 5-80,2-4 184,-2 1-64,0-1 32,0 3 8,0 0-104,0-1 16,0 2-72,-1-1 0,-1 0-104,-2-1-48,-6 0-8,6 1-48,-9 0 8,13 1 200,-12 0-144,-2 0 16,-3 0 88,-2 2-16,-1 2 8,-3 6 40,23-10 8,-23 2-72,-2 2 72,-1 7-8,-2-7-8,0 7 40,-4-8-24,32-3 0,-31 12 16,-1-8 24,-1 8-16,-1-8 8,-1 9-16,1-4-64,34-9 48,-38 11-8,2 1-32,0 0 8,-1 0 56,-1 0-24,2 1 8,36-13-8,-40 13 48,0 3-56,0-2 8,-2 2 16,6-3 24,-2 0 0,38-13-40,-36 15 32,-2-3-32,3 1 16,0-1-8,1 0 16,2 0 8,-2 0-8,34-12-24,-33 12 24,2-3 8,-1 2-8,3 0-24,1-1 8,2-1 8,26-9-16,-25 4 16,0 10 0,0-10 40,2 8-8,0-9-32,0 8 24,23-11-40,-22 3 8,2 6-8,2-6 56,1 0-32,2 7 8,0-10 8,15 0-40,-13 3 16,2 1 24,-1-1 16,2 0 0,5-1-8,-6-2 16,11 0-64,-3 3 48,-6-3 24,7 0 40,-2 0 16,3 0 8,0 0 8,1 0-144,-1 0 128,1 0-8,0-2-24,0 1-48,0 0-48,0 0-48,0 1 48,2-1-88,0-1 0,2 1 0,5-2 8,-7-1 0,8 1-16,-10 3 96,3-5-104,12 0 32,-5-6 8,4 8 16,1-7 24,0 6-8,-15 4 32,18-10-40,2 5 8,1-7 8,1 7-32,1-7 32,0 7 0,-23 5 24,24-12-40,-1 7 40,0-5-40,1 0-16,2 5 48,0-7-8,-26 12 16,26-9-8,2 4 16,0-8-32,1 8-16,2-8 16,-1 2 0,-30 11 24,31-11-48,0 0 24,3 1 8,0-1-32,1 0 48,-1-1 0,-34 12 0,35-12-24,0-1 56,1 1-8,3 0-56,-3 0 56,3 0-40,-39 12 16,37-12-16,-2-1 48,0 1-8,-1 1-16,2-1 16,-2 1-24,-34 11 0,36-12-48,-2 1 16,-3-1-24,1 2-56,-1-2 88,1 1-8,-32 11 32,33-12-48,-2 1 72,-2 0-56,-1 1 32,-1 0 8,0 0-32,-27 10 24,25-9 0,2 4-40,-4-7-32,0 8 64,-3-6-24,-2 6 8,-18 4 24,18-10-8,-2 8-8,-2-2 32,0 0-32,-2-1 32,-2 0-8,-10 5-8,9-3-8,-5-1 8,7 2 16,-9 0 0,2 1 16,-1 0 16,-3 1-48,2-1 0,0 0 40,1 1-8,-3 0 48,0 0 24,0 0-48,0 0-56,0 0 48,-2 0-32,1 0-16,-2 2 0,-1-2-8,-6 2-16,10-2 24,-4 3-24,-9-1 0,2 1-40,-2 0 8,-2 1-8,-2-1-16,17-3 80,-19 4-72,1-1 40,-3 7 0,-2-8 24,-1 2 24,-2 7-32,26-11 16,-25 2-40,-2 8 0,2-8-8,-2 8-8,-1-7 56,-1 1-8,29-4 8,-32 12 32,1-10-32,-3 8 16,1-6 16,-1 8-32,-1-3-16,35-9 16,-37 10 24,-2 1-48,0-1 16,-1 1 40,-1 0-32,1 0 24,40-11-24,-43 12 8,-2 0-8,0 1 16,1 0-16,1-1 56,1 1-16,42-13-40,-43 12 112,-1 1-32,3 1-56,0-1 56,-2 0-64,1 0 56,42-13-72,-45 14 48,1 0-32,1 0 8,1-1 0,-2 2 32,1-1-40,43-14-16,-45 14 40,0 1-16,2-2-24,1 1 48,0-1 0,1 1-8,41-14-40,-41 14 72,2-1-24,0 0-32,1 1 24,3-4 16,1 1-8,34-11-48,-33 10 40,2-1-16,0-5 0,2 9 0,2-9 0,3 8 8,24-12-32,-24 2 48,2 8 8,0-8 8,3 2-24,0 5 32,3-9 8,16 0-80,-14 4 48,2-2 16,2 1-40,7-1 0,-6-2 40,7 0-24,2 0-40,-1 0 48,-1 0-48,2 0-96,0 0-96,3 0 16,-3 0 176,3 0-240,6 0 80,-7-1 64,10 0 16,-1-2 48,3 0 8,-14 3 24,17-4-32,1 0 32,4-5-16,0 5 8,3-7 0,1 8-40,-26 3 48,28-12-32,1 7-16,2-7 32,2 3-24,2-2 16,2 1 8,-37 10 16,37-11-32,1-1-8,1 0-8,1 0-8,1 0 8,2-1 8,-43 13 40,42-12-40,2-1 8,2 0 8,2 0 8,0-2-24,2 0 24,-50 15 16,49-16 0,0 1 0,1-2 0,2-1 16,0 0-24,1 0 8,-53 18 0,53-19 24,2 0-16,-2 1 24,2-2-8,1 2 0,2-1-16,-58 19-8,55-18-8,0 1 8,-2 0-24,-1-1 48,2 0-56,-4 1 40,-50 17-8,50-17 24,0 1-32,0 1 48,0-1-40,-3 1 0,0-1 0,-47 16 0,44-14 0,2-1 24,-3 2-24,0 0-8,-3 1 8,-3-1-40,-37 13 40,39-12 16,-2 0 16,0-1-24,0 1 88,-1 0-80,-1 0 0,-35 12-16,34-11 64,-1-1-24,0 1-8,-4 2 16,-1-1-48,-2 5-40,-26 5 40,23-13 24,-4 9-56,-1-6 40,-1 6-8,-1-1-24,-4 0 48,-12 5-24,10-4 40,-6 0 0,7 0 0,-9 1 16,0 0 48,-2 2 72,0 1-176,0-1 280,0 1 0,0 0-48,-1 0-96,-2 0-104,-6-1-64,9 1 32,-5 0-96,-9 0-56,-1 0-48,-2 0 24,-2 3 16,-6 1 16,25-4 144,-26 10-88,-4-8 0,-1 8 48,-3-7-24,-2 9 64,-1-8 8,37-4-8,-40 13-32,-2-3 96,0-7-40,-2 12 24,-1-6 40,-1 2 8,46-11-96,-48 11 80,-4-1 16,-1 1-40,-1 2-80,-5 1 32,-2 1-8,61-15 0,-63 16-40,-3 1 56,-1-1-32,-4 2 32,-3 2 160,-5 2 0,79-22-176,-81 24 168,-1 0 96,5-1 0,3-3 16,2-2 65,-1-1-161,73-17-184,-75 18 88,1 1-56,-3 2-8,0 0-24,-1 0 64,-4 0-48,82-21-16,-82 22 8,-1-1 8,-1 3-8,0-1-8,-2 0 64,0-2-16,86-21-48,-85 22 64,1-2 8,0-1-8,4-1-8,2 0 0,0-2 16,78-16-72,-77 16 88,2-1 8,2-2-8,1 1 24,3-4-48,0 1-16,69-11-48,-68 10 56,1-7-8,2 9 0,1-9 8,2 0 72,3 1-32,59-4-96,-55 2 192,3-2-40,-2 0-48,3 0 40,1 0-64,4-2 72,46 2-152,-41-5 120,2-6 16,4 7-56,2-10-24,1 4 88,6-1 24,26 11-168,-25-13 256,3-2-24,2 1-40,3-2-104,2-1-16,2 1-48,13 16-24,-8-18 16,3-1-40,-4-3-72,8-2-64,1-1 0,0-2-40,0 27 200,4-28-120,9-1 16,-2-1-40,3-1-16,5 0-64,1-1-24,-20 32 248,21-29-232,5-3 8,1 1 0,3 1 64,0-1-56,0 2 40,-30 29 176,33-27-176,2-1 24,2 1 0,4 0 56,-1 2 32,0 1-8,-40 24 72,42-24-40,-1 3-32,0-1 96,3 2-32,1 0-8,2 4 40,-47 16-24,46-15-72,2 1 72,0 2 16,2 1-48,0 6 24,-3-5-32,6 6 32,-53 4 8,49-4-40,4 2 40,-4 1-32,-1 1-48,0 2 8,0 2 24,-48-4 48,47 12-32,0-3-24,-1 3 56,0 2-72,-2 1 24,3 2-8,-47-17 56,45 18-73,-2 2 33,1 1-8,0 0 16,0 2 8,0 0 24,-44-23 0,43 24 0,-3 1 24,0 1-16,0 1-16,0-1 32,0 0-16,-40-26-8,39 28 16,0-1-8,-1 1-8,-1 1 24,0 0-8,-2-1 32,-35-28-48,34 29 33,-1 0-9,-3 0 48,1-1-24,0 2 16,0 0 24,-31-30-88,28 29 72,-1 0-16,0-3 48,-4-1-8,0 0 48,-2-1 32,-21-24-176,20 26 136,0-2 0,-1-2-48,0 2-8,-1-2-24,-1-1-24,-17-21-32,16 22 32,-2 0 8,1-2-24,-1-2-8,0 1 8,-2-1-32,-12-18 16,12 17-8,-2 1-32,2-3-40,-3 1-56,0-2-88,2 0-184,-11-14 408,10 13-921,-2-1-919,2 0-1705,0-1-272,-2-8-3192,-8-3 7009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4:33:17.1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56 21252,'0'0'0,"-24"-16"8522,5 4-7794,-3-1-480,12 8-192,10 5-56,-1-3 112,0 1 8,1 1-88,0 0 80,0 0-144,0 0 16,0 1 16,0 0-48,0 0-24,0 0-40,0 0-72,0 0-64,0 0-168,0 0 1496,2 0-2760,1 0 688,-3 3-481,3 7-783,1-8-1177,6 9-2552,-10-11 5985,2 4-9322,-2-4 9322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zoomScale="85" zoomScaleNormal="100" zoomScaleSheetLayoutView="85" workbookViewId="0">
      <selection activeCell="N5" sqref="N5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3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9" t="s">
        <v>180</v>
      </c>
      <c r="C1" s="79"/>
      <c r="D1" s="79"/>
      <c r="E1" s="79"/>
      <c r="F1" s="79"/>
      <c r="G1" s="79"/>
      <c r="H1" s="79"/>
      <c r="I1" s="79"/>
      <c r="J1" s="79"/>
    </row>
    <row r="2" spans="1:10" ht="30" customHeight="1" x14ac:dyDescent="0.25">
      <c r="B2" s="13" t="s">
        <v>8</v>
      </c>
      <c r="C2" s="85"/>
      <c r="D2" s="85"/>
      <c r="E2" s="13" t="s">
        <v>7</v>
      </c>
      <c r="F2" s="80">
        <v>45931</v>
      </c>
      <c r="G2" s="80"/>
      <c r="H2" s="80"/>
      <c r="I2" s="80"/>
      <c r="J2" s="80"/>
    </row>
    <row r="3" spans="1:10" ht="30" customHeight="1" x14ac:dyDescent="0.25">
      <c r="B3" s="13" t="s">
        <v>9</v>
      </c>
      <c r="C3" s="85"/>
      <c r="D3" s="85"/>
      <c r="E3" s="13" t="s">
        <v>6</v>
      </c>
      <c r="F3" s="85"/>
      <c r="G3" s="85"/>
      <c r="H3" s="85"/>
      <c r="I3" s="85"/>
      <c r="J3" s="85"/>
    </row>
    <row r="4" spans="1:10" ht="30" customHeight="1" thickBot="1" x14ac:dyDescent="0.3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5">
      <c r="A5" s="11"/>
      <c r="B5" s="81" t="s">
        <v>0</v>
      </c>
      <c r="C5" s="82"/>
      <c r="D5" s="82"/>
      <c r="E5" s="90" t="s">
        <v>1</v>
      </c>
      <c r="F5" s="90"/>
      <c r="G5" s="90"/>
      <c r="H5" s="90"/>
      <c r="I5" s="90" t="s">
        <v>2</v>
      </c>
      <c r="J5" s="91"/>
    </row>
    <row r="6" spans="1:10" ht="24.95" customHeight="1" thickBot="1" x14ac:dyDescent="0.3">
      <c r="A6" s="11"/>
      <c r="B6" s="83"/>
      <c r="C6" s="84"/>
      <c r="D6" s="84"/>
      <c r="E6" s="12" t="s">
        <v>3</v>
      </c>
      <c r="F6" s="12" t="s">
        <v>4</v>
      </c>
      <c r="G6" s="12" t="s">
        <v>23</v>
      </c>
      <c r="H6" s="12" t="s">
        <v>24</v>
      </c>
      <c r="I6" s="92"/>
      <c r="J6" s="93"/>
    </row>
    <row r="7" spans="1:10" ht="24.95" customHeight="1" thickBot="1" x14ac:dyDescent="0.3">
      <c r="A7" s="11"/>
      <c r="B7" s="88" t="s">
        <v>21</v>
      </c>
      <c r="C7" s="89"/>
      <c r="D7" s="89"/>
      <c r="E7" s="36" t="s">
        <v>18</v>
      </c>
      <c r="F7" s="36" t="s">
        <v>19</v>
      </c>
      <c r="G7" s="36" t="s">
        <v>22</v>
      </c>
      <c r="H7" s="36" t="s">
        <v>20</v>
      </c>
      <c r="I7" s="99" t="s">
        <v>25</v>
      </c>
      <c r="J7" s="100"/>
    </row>
    <row r="8" spans="1:10" ht="39.950000000000003" customHeight="1" x14ac:dyDescent="0.25">
      <c r="A8" s="11"/>
      <c r="B8" s="57"/>
      <c r="C8" s="58"/>
      <c r="D8" s="58"/>
      <c r="E8" s="30"/>
      <c r="F8" s="40"/>
      <c r="G8" s="41"/>
      <c r="H8" s="42"/>
      <c r="I8" s="65"/>
      <c r="J8" s="66"/>
    </row>
    <row r="9" spans="1:10" ht="39.950000000000003" customHeight="1" x14ac:dyDescent="0.25">
      <c r="A9" s="11"/>
      <c r="B9" s="53"/>
      <c r="C9" s="54"/>
      <c r="D9" s="54"/>
      <c r="E9" s="31">
        <v>5</v>
      </c>
      <c r="F9" s="27">
        <v>4</v>
      </c>
      <c r="G9" s="38">
        <f>IFERROR(F9/E9,"")</f>
        <v>0.8</v>
      </c>
      <c r="H9" s="39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61"/>
      <c r="J9" s="62"/>
    </row>
    <row r="10" spans="1:10" ht="39.950000000000003" customHeight="1" x14ac:dyDescent="0.25">
      <c r="A10" s="11"/>
      <c r="B10" s="53"/>
      <c r="C10" s="54"/>
      <c r="D10" s="54"/>
      <c r="E10" s="31">
        <v>8</v>
      </c>
      <c r="F10" s="27">
        <v>6</v>
      </c>
      <c r="G10" s="38">
        <f t="shared" ref="G10:G33" si="0">IFERROR(F10/E10,"")</f>
        <v>0.75</v>
      </c>
      <c r="H10" s="39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61"/>
      <c r="J10" s="62"/>
    </row>
    <row r="11" spans="1:10" ht="39.950000000000003" customHeight="1" x14ac:dyDescent="0.25">
      <c r="A11" s="11"/>
      <c r="B11" s="53"/>
      <c r="C11" s="54"/>
      <c r="D11" s="54"/>
      <c r="E11" s="31">
        <v>5</v>
      </c>
      <c r="F11" s="27">
        <v>3.75</v>
      </c>
      <c r="G11" s="38">
        <f t="shared" si="0"/>
        <v>0.75</v>
      </c>
      <c r="H11" s="39" t="str">
        <f t="shared" si="1"/>
        <v>جيد</v>
      </c>
      <c r="I11" s="61"/>
      <c r="J11" s="62"/>
    </row>
    <row r="12" spans="1:10" ht="39.950000000000003" customHeight="1" thickBot="1" x14ac:dyDescent="0.3">
      <c r="A12" s="11"/>
      <c r="B12" s="55"/>
      <c r="C12" s="56"/>
      <c r="D12" s="56"/>
      <c r="E12" s="32">
        <v>5</v>
      </c>
      <c r="F12" s="29">
        <v>4</v>
      </c>
      <c r="G12" s="43">
        <f t="shared" si="0"/>
        <v>0.8</v>
      </c>
      <c r="H12" s="44" t="str">
        <f t="shared" si="1"/>
        <v>جيد جداً</v>
      </c>
      <c r="I12" s="63"/>
      <c r="J12" s="64"/>
    </row>
    <row r="13" spans="1:10" ht="39.950000000000003" customHeight="1" thickBot="1" x14ac:dyDescent="0.3">
      <c r="A13" s="11"/>
      <c r="B13" s="49"/>
      <c r="C13" s="50"/>
      <c r="D13" s="50"/>
      <c r="E13" s="33">
        <v>10</v>
      </c>
      <c r="F13" s="45">
        <v>7.75</v>
      </c>
      <c r="G13" s="46">
        <f t="shared" si="0"/>
        <v>0.77500000000000002</v>
      </c>
      <c r="H13" s="28" t="str">
        <f t="shared" si="1"/>
        <v>جيد</v>
      </c>
      <c r="I13" s="71"/>
      <c r="J13" s="72"/>
    </row>
    <row r="14" spans="1:10" ht="39.950000000000003" customHeight="1" thickBot="1" x14ac:dyDescent="0.3">
      <c r="A14" s="11"/>
      <c r="B14" s="49"/>
      <c r="C14" s="50"/>
      <c r="D14" s="50"/>
      <c r="E14" s="10">
        <v>10</v>
      </c>
      <c r="F14" s="45">
        <v>7.75</v>
      </c>
      <c r="G14" s="46">
        <f t="shared" si="0"/>
        <v>0.77500000000000002</v>
      </c>
      <c r="H14" s="28" t="str">
        <f t="shared" si="1"/>
        <v>جيد</v>
      </c>
      <c r="I14" s="71"/>
      <c r="J14" s="72"/>
    </row>
    <row r="15" spans="1:10" ht="57" customHeight="1" thickBot="1" x14ac:dyDescent="0.3">
      <c r="A15" s="11"/>
      <c r="B15" s="49"/>
      <c r="C15" s="50"/>
      <c r="D15" s="50"/>
      <c r="E15" s="10">
        <v>10</v>
      </c>
      <c r="F15" s="45">
        <v>7</v>
      </c>
      <c r="G15" s="46">
        <f t="shared" si="0"/>
        <v>0.7</v>
      </c>
      <c r="H15" s="28" t="str">
        <f t="shared" si="1"/>
        <v>جيد</v>
      </c>
      <c r="I15" s="71"/>
      <c r="J15" s="72"/>
    </row>
    <row r="16" spans="1:10" ht="39.950000000000003" customHeight="1" thickBot="1" x14ac:dyDescent="0.3">
      <c r="A16" s="11"/>
      <c r="B16" s="49"/>
      <c r="C16" s="50"/>
      <c r="D16" s="50"/>
      <c r="E16" s="10">
        <v>10</v>
      </c>
      <c r="F16" s="45">
        <v>7</v>
      </c>
      <c r="G16" s="46">
        <f t="shared" si="0"/>
        <v>0.7</v>
      </c>
      <c r="H16" s="28" t="str">
        <f t="shared" si="1"/>
        <v>جيد</v>
      </c>
      <c r="I16" s="71"/>
      <c r="J16" s="72"/>
    </row>
    <row r="17" spans="1:10" ht="39.950000000000003" customHeight="1" thickBot="1" x14ac:dyDescent="0.3">
      <c r="A17" s="11"/>
      <c r="B17" s="49"/>
      <c r="C17" s="50"/>
      <c r="D17" s="50"/>
      <c r="E17" s="10">
        <v>5</v>
      </c>
      <c r="F17" s="45">
        <v>3.75</v>
      </c>
      <c r="G17" s="46">
        <f t="shared" si="0"/>
        <v>0.75</v>
      </c>
      <c r="H17" s="28" t="str">
        <f t="shared" si="1"/>
        <v>جيد</v>
      </c>
      <c r="I17" s="71"/>
      <c r="J17" s="72"/>
    </row>
    <row r="18" spans="1:10" ht="39.950000000000003" customHeight="1" x14ac:dyDescent="0.25">
      <c r="A18" s="11"/>
      <c r="B18" s="51"/>
      <c r="C18" s="52"/>
      <c r="D18" s="52"/>
      <c r="E18" s="30"/>
      <c r="F18" s="40"/>
      <c r="G18" s="41"/>
      <c r="H18" s="42"/>
      <c r="I18" s="65"/>
      <c r="J18" s="66"/>
    </row>
    <row r="19" spans="1:10" ht="51" customHeight="1" x14ac:dyDescent="0.25">
      <c r="A19" s="11"/>
      <c r="B19" s="53"/>
      <c r="C19" s="54"/>
      <c r="D19" s="54"/>
      <c r="E19" s="9">
        <v>6</v>
      </c>
      <c r="F19" s="27">
        <v>4.25</v>
      </c>
      <c r="G19" s="38">
        <f t="shared" si="0"/>
        <v>0.70833333333333337</v>
      </c>
      <c r="H19" s="39" t="str">
        <f t="shared" si="1"/>
        <v>جيد</v>
      </c>
      <c r="I19" s="61"/>
      <c r="J19" s="62"/>
    </row>
    <row r="20" spans="1:10" ht="39.950000000000003" customHeight="1" x14ac:dyDescent="0.25">
      <c r="A20" s="11"/>
      <c r="B20" s="53"/>
      <c r="C20" s="54"/>
      <c r="D20" s="54"/>
      <c r="E20" s="9">
        <v>6</v>
      </c>
      <c r="F20" s="27">
        <v>4.25</v>
      </c>
      <c r="G20" s="38">
        <f t="shared" si="0"/>
        <v>0.70833333333333337</v>
      </c>
      <c r="H20" s="39" t="str">
        <f t="shared" si="1"/>
        <v>جيد</v>
      </c>
      <c r="I20" s="61"/>
      <c r="J20" s="62"/>
    </row>
    <row r="21" spans="1:10" ht="39.950000000000003" customHeight="1" thickBot="1" x14ac:dyDescent="0.3">
      <c r="A21" s="11"/>
      <c r="B21" s="55"/>
      <c r="C21" s="56"/>
      <c r="D21" s="56"/>
      <c r="E21" s="34">
        <v>6</v>
      </c>
      <c r="F21" s="29">
        <v>4.5</v>
      </c>
      <c r="G21" s="43">
        <f t="shared" si="0"/>
        <v>0.75</v>
      </c>
      <c r="H21" s="44" t="str">
        <f t="shared" si="1"/>
        <v>جيد</v>
      </c>
      <c r="I21" s="63"/>
      <c r="J21" s="64"/>
    </row>
    <row r="22" spans="1:10" ht="39.950000000000003" customHeight="1" x14ac:dyDescent="0.25">
      <c r="A22" s="11"/>
      <c r="B22" s="57"/>
      <c r="C22" s="58"/>
      <c r="D22" s="58"/>
      <c r="E22" s="35"/>
      <c r="F22" s="40"/>
      <c r="G22" s="41"/>
      <c r="H22" s="42"/>
      <c r="I22" s="65"/>
      <c r="J22" s="66"/>
    </row>
    <row r="23" spans="1:10" ht="39.950000000000003" customHeight="1" x14ac:dyDescent="0.25">
      <c r="A23" s="11"/>
      <c r="B23" s="53"/>
      <c r="C23" s="54"/>
      <c r="D23" s="54"/>
      <c r="E23" s="31">
        <v>6</v>
      </c>
      <c r="F23" s="27">
        <v>4.25</v>
      </c>
      <c r="G23" s="38">
        <f t="shared" si="0"/>
        <v>0.70833333333333337</v>
      </c>
      <c r="H23" s="39" t="str">
        <f t="shared" si="1"/>
        <v>جيد</v>
      </c>
      <c r="I23" s="61"/>
      <c r="J23" s="62"/>
    </row>
    <row r="24" spans="1:10" ht="51" customHeight="1" x14ac:dyDescent="0.25">
      <c r="A24" s="11"/>
      <c r="B24" s="53"/>
      <c r="C24" s="54"/>
      <c r="D24" s="54"/>
      <c r="E24" s="31">
        <v>10</v>
      </c>
      <c r="F24" s="27">
        <v>6</v>
      </c>
      <c r="G24" s="38">
        <f t="shared" si="0"/>
        <v>0.6</v>
      </c>
      <c r="H24" s="39" t="str">
        <f t="shared" si="1"/>
        <v>مقبول</v>
      </c>
      <c r="I24" s="61"/>
      <c r="J24" s="62"/>
    </row>
    <row r="25" spans="1:10" ht="39.950000000000003" customHeight="1" thickBot="1" x14ac:dyDescent="0.3">
      <c r="A25" s="11"/>
      <c r="B25" s="55"/>
      <c r="C25" s="56"/>
      <c r="D25" s="56"/>
      <c r="E25" s="32">
        <v>5</v>
      </c>
      <c r="F25" s="29">
        <v>3</v>
      </c>
      <c r="G25" s="43">
        <f t="shared" si="0"/>
        <v>0.6</v>
      </c>
      <c r="H25" s="44" t="str">
        <f t="shared" si="1"/>
        <v>مقبول</v>
      </c>
      <c r="I25" s="63"/>
      <c r="J25" s="64"/>
    </row>
    <row r="26" spans="1:10" ht="39.950000000000003" customHeight="1" x14ac:dyDescent="0.25">
      <c r="A26" s="11"/>
      <c r="B26" s="51"/>
      <c r="C26" s="52"/>
      <c r="D26" s="52"/>
      <c r="E26" s="30"/>
      <c r="F26" s="40"/>
      <c r="G26" s="41"/>
      <c r="H26" s="42"/>
      <c r="I26" s="65"/>
      <c r="J26" s="66"/>
    </row>
    <row r="27" spans="1:10" ht="39.950000000000003" customHeight="1" x14ac:dyDescent="0.25">
      <c r="A27" s="11"/>
      <c r="B27" s="53"/>
      <c r="C27" s="54"/>
      <c r="D27" s="54"/>
      <c r="E27" s="9">
        <v>10</v>
      </c>
      <c r="F27" s="27">
        <v>7.25</v>
      </c>
      <c r="G27" s="38">
        <f t="shared" si="0"/>
        <v>0.72499999999999998</v>
      </c>
      <c r="H27" s="39" t="str">
        <f t="shared" si="1"/>
        <v>جيد</v>
      </c>
      <c r="I27" s="61"/>
      <c r="J27" s="62"/>
    </row>
    <row r="28" spans="1:10" ht="39.950000000000003" customHeight="1" thickBot="1" x14ac:dyDescent="0.3">
      <c r="A28" s="11"/>
      <c r="B28" s="55"/>
      <c r="C28" s="56"/>
      <c r="D28" s="56"/>
      <c r="E28" s="34">
        <v>10</v>
      </c>
      <c r="F28" s="29">
        <v>7</v>
      </c>
      <c r="G28" s="43">
        <f t="shared" si="0"/>
        <v>0.7</v>
      </c>
      <c r="H28" s="44" t="str">
        <f t="shared" si="1"/>
        <v>جيد</v>
      </c>
      <c r="I28" s="63"/>
      <c r="J28" s="64"/>
    </row>
    <row r="29" spans="1:10" ht="39.950000000000003" customHeight="1" x14ac:dyDescent="0.25">
      <c r="A29" s="11"/>
      <c r="B29" s="57"/>
      <c r="C29" s="58"/>
      <c r="D29" s="58"/>
      <c r="E29" s="30"/>
      <c r="F29" s="40"/>
      <c r="G29" s="41"/>
      <c r="H29" s="42"/>
      <c r="I29" s="65"/>
      <c r="J29" s="66"/>
    </row>
    <row r="30" spans="1:10" ht="39.950000000000003" customHeight="1" x14ac:dyDescent="0.25">
      <c r="A30" s="11"/>
      <c r="B30" s="59"/>
      <c r="C30" s="60"/>
      <c r="D30" s="60"/>
      <c r="E30" s="9">
        <v>5</v>
      </c>
      <c r="F30" s="27">
        <v>3</v>
      </c>
      <c r="G30" s="38">
        <f t="shared" si="0"/>
        <v>0.6</v>
      </c>
      <c r="H30" s="39" t="str">
        <f t="shared" si="1"/>
        <v>مقبول</v>
      </c>
      <c r="I30" s="61"/>
      <c r="J30" s="62"/>
    </row>
    <row r="31" spans="1:10" ht="39.950000000000003" customHeight="1" x14ac:dyDescent="0.25">
      <c r="A31" s="11"/>
      <c r="B31" s="59"/>
      <c r="C31" s="60"/>
      <c r="D31" s="60"/>
      <c r="E31" s="9">
        <v>6</v>
      </c>
      <c r="F31" s="27">
        <v>4.25</v>
      </c>
      <c r="G31" s="38">
        <f t="shared" si="0"/>
        <v>0.70833333333333337</v>
      </c>
      <c r="H31" s="39" t="str">
        <f t="shared" si="1"/>
        <v>جيد</v>
      </c>
      <c r="I31" s="61"/>
      <c r="J31" s="62"/>
    </row>
    <row r="32" spans="1:10" ht="39.950000000000003" customHeight="1" x14ac:dyDescent="0.25">
      <c r="A32" s="11"/>
      <c r="B32" s="59"/>
      <c r="C32" s="60"/>
      <c r="D32" s="60"/>
      <c r="E32" s="9">
        <v>6</v>
      </c>
      <c r="F32" s="27">
        <v>4.5</v>
      </c>
      <c r="G32" s="38">
        <f t="shared" si="0"/>
        <v>0.75</v>
      </c>
      <c r="H32" s="39" t="str">
        <f t="shared" si="1"/>
        <v>جيد</v>
      </c>
      <c r="I32" s="61"/>
      <c r="J32" s="62"/>
    </row>
    <row r="33" spans="1:10" ht="39.950000000000003" customHeight="1" thickBot="1" x14ac:dyDescent="0.3">
      <c r="A33" s="11"/>
      <c r="B33" s="47"/>
      <c r="C33" s="48"/>
      <c r="D33" s="48"/>
      <c r="E33" s="32">
        <v>6</v>
      </c>
      <c r="F33" s="29">
        <v>4.25</v>
      </c>
      <c r="G33" s="43">
        <f t="shared" si="0"/>
        <v>0.70833333333333337</v>
      </c>
      <c r="H33" s="44" t="str">
        <f t="shared" si="1"/>
        <v>جيد</v>
      </c>
      <c r="I33" s="63"/>
      <c r="J33" s="64"/>
    </row>
    <row r="34" spans="1:10" ht="30" customHeight="1" thickBot="1" x14ac:dyDescent="0.3">
      <c r="A34" s="4"/>
      <c r="B34" s="67" t="s">
        <v>5</v>
      </c>
      <c r="C34" s="68"/>
      <c r="D34" s="68"/>
      <c r="E34" s="37">
        <f>SUM(E8:E33)</f>
        <v>150</v>
      </c>
      <c r="F34" s="37">
        <f>SUM(F8:F33)</f>
        <v>107.5</v>
      </c>
      <c r="G34" s="96"/>
      <c r="H34" s="97"/>
      <c r="I34" s="97"/>
      <c r="J34" s="98"/>
    </row>
    <row r="35" spans="1:10" ht="30" customHeight="1" thickBot="1" x14ac:dyDescent="0.3">
      <c r="A35" s="4"/>
      <c r="B35" s="69" t="s">
        <v>54</v>
      </c>
      <c r="C35" s="70"/>
      <c r="D35" s="70"/>
      <c r="E35" s="86">
        <f>F34/E34/100*100</f>
        <v>0.71666666666666667</v>
      </c>
      <c r="F35" s="86"/>
      <c r="G35" s="86"/>
      <c r="H35" s="86"/>
      <c r="I35" s="86"/>
      <c r="J35" s="87"/>
    </row>
    <row r="36" spans="1:10" ht="30" customHeight="1" thickBot="1" x14ac:dyDescent="0.3">
      <c r="A36" s="4"/>
      <c r="B36" s="69" t="s">
        <v>55</v>
      </c>
      <c r="C36" s="70"/>
      <c r="D36" s="70"/>
      <c r="E36" s="77" t="str">
        <f>_xlfn.IFS(E35&gt;=90%,"ممتاز",E35&gt;=80%,"جيد جداً",E35&gt;=70%,"جيد",E35&gt;=60%,"مقبول",E35&lt;60%,"راسب")</f>
        <v>جيد</v>
      </c>
      <c r="F36" s="77"/>
      <c r="G36" s="77"/>
      <c r="H36" s="77"/>
      <c r="I36" s="77"/>
      <c r="J36" s="78"/>
    </row>
    <row r="37" spans="1:10" ht="42" customHeight="1" x14ac:dyDescent="0.25">
      <c r="B37" s="73" t="s">
        <v>174</v>
      </c>
      <c r="C37" s="73"/>
      <c r="D37" s="73"/>
      <c r="E37" s="94" t="s">
        <v>52</v>
      </c>
      <c r="F37" s="94"/>
      <c r="G37" s="75"/>
      <c r="H37" s="75"/>
      <c r="I37" s="75"/>
      <c r="J37" s="75"/>
    </row>
    <row r="38" spans="1:10" ht="51" customHeight="1" x14ac:dyDescent="0.25">
      <c r="A38" s="5"/>
      <c r="B38" s="74"/>
      <c r="C38" s="74"/>
      <c r="D38" s="74"/>
      <c r="E38" s="95" t="s">
        <v>53</v>
      </c>
      <c r="F38" s="95"/>
      <c r="G38" s="76"/>
      <c r="H38" s="76"/>
      <c r="I38" s="76"/>
      <c r="J38" s="76"/>
    </row>
  </sheetData>
  <sheetProtection formatCells="0" formatColumns="0" formatRows="0" insertColumns="0" insertRows="0" insertHyperlinks="0" deleteColumns="0" deleteRows="0" selectLockedCells="1" sort="0" autoFilter="0" pivotTables="0"/>
  <mergeCells count="73">
    <mergeCell ref="E37:F37"/>
    <mergeCell ref="E38:F38"/>
    <mergeCell ref="G34:J34"/>
    <mergeCell ref="I9:J9"/>
    <mergeCell ref="I7:J7"/>
    <mergeCell ref="I10:J10"/>
    <mergeCell ref="I19:J19"/>
    <mergeCell ref="I20:J20"/>
    <mergeCell ref="I21:J21"/>
    <mergeCell ref="I33:J33"/>
    <mergeCell ref="I8:J8"/>
    <mergeCell ref="B37:D38"/>
    <mergeCell ref="G37:J37"/>
    <mergeCell ref="G38:J38"/>
    <mergeCell ref="E36:J36"/>
    <mergeCell ref="B1:J1"/>
    <mergeCell ref="F2:J2"/>
    <mergeCell ref="B5:D6"/>
    <mergeCell ref="C2:D2"/>
    <mergeCell ref="C3:D3"/>
    <mergeCell ref="F3:J3"/>
    <mergeCell ref="E35:J35"/>
    <mergeCell ref="B7:D7"/>
    <mergeCell ref="I30:J30"/>
    <mergeCell ref="I31:J31"/>
    <mergeCell ref="E5:H5"/>
    <mergeCell ref="I5:J6"/>
    <mergeCell ref="B34:D34"/>
    <mergeCell ref="B35:D35"/>
    <mergeCell ref="B36:D3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2:J22"/>
    <mergeCell ref="B13:D13"/>
    <mergeCell ref="B14:D14"/>
    <mergeCell ref="B15:D15"/>
    <mergeCell ref="B16:D16"/>
    <mergeCell ref="I32:J32"/>
    <mergeCell ref="I23:J23"/>
    <mergeCell ref="I24:J24"/>
    <mergeCell ref="I25:J25"/>
    <mergeCell ref="I26:J26"/>
    <mergeCell ref="I27:J27"/>
    <mergeCell ref="B31:D31"/>
    <mergeCell ref="B32:D32"/>
    <mergeCell ref="B8:D8"/>
    <mergeCell ref="B9:D9"/>
    <mergeCell ref="B10:D10"/>
    <mergeCell ref="B11:D11"/>
    <mergeCell ref="B12:D12"/>
    <mergeCell ref="B33:D33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58">
      <formula>$E36="مقبول"</formula>
    </cfRule>
    <cfRule type="expression" dxfId="12" priority="59">
      <formula>$E36="جيد"</formula>
    </cfRule>
    <cfRule type="expression" dxfId="11" priority="60">
      <formula>$E36="جيد جداً"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F17 F25 F9 F11:F12 F30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5E57C85F-CD35-45D5-8B1B-7469709ED2C1}">
          <x14:formula1>
            <xm:f>'بيانات التقييم'!$A$111:$A$145</xm:f>
          </x14:formula1>
          <xm:sqref>F10</xm:sqref>
        </x14:dataValidation>
        <x14:dataValidation type="list" allowBlank="1" showInputMessage="1" showErrorMessage="1" xr:uid="{F486ED15-E659-4472-AFB1-6D20FDE27AA0}">
          <x14:formula1>
            <xm:f>'بيانات التقييم'!$A$111:$A$153</xm:f>
          </x14:formula1>
          <xm:sqref>F13:F16 F24 F27 F28</xm:sqref>
        </x14:dataValidation>
        <x14:dataValidation type="list" allowBlank="1" showInputMessage="1" showErrorMessage="1" xr:uid="{69B34E0D-46B7-419B-A848-76314E7C967B}">
          <x14:formula1>
            <xm:f>'بيانات التقييم'!$A$111:$A$137</xm:f>
          </x14:formula1>
          <xm:sqref>F19 F20 F21 F23 F31 F32 F33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6" zoomScaleNormal="100" workbookViewId="0">
      <selection activeCell="C33" sqref="C33"/>
    </sheetView>
  </sheetViews>
  <sheetFormatPr defaultRowHeight="20.100000000000001" customHeight="1" x14ac:dyDescent="0.25"/>
  <cols>
    <col min="1" max="1" width="42.5703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0" t="s">
        <v>62</v>
      </c>
    </row>
    <row r="3" spans="1:3" ht="20.100000000000001" customHeight="1" thickBot="1" x14ac:dyDescent="0.3">
      <c r="A3" s="2" t="s">
        <v>26</v>
      </c>
      <c r="C3" s="20" t="s">
        <v>63</v>
      </c>
    </row>
    <row r="4" spans="1:3" ht="20.100000000000001" customHeight="1" thickBot="1" x14ac:dyDescent="0.3">
      <c r="A4" s="2" t="s">
        <v>36</v>
      </c>
      <c r="C4" s="20" t="s">
        <v>64</v>
      </c>
    </row>
    <row r="5" spans="1:3" ht="20.100000000000001" customHeight="1" thickBot="1" x14ac:dyDescent="0.3">
      <c r="A5" s="2" t="s">
        <v>37</v>
      </c>
      <c r="C5" s="20" t="s">
        <v>65</v>
      </c>
    </row>
    <row r="6" spans="1:3" ht="20.100000000000001" customHeight="1" thickBot="1" x14ac:dyDescent="0.3">
      <c r="A6" s="2" t="s">
        <v>38</v>
      </c>
      <c r="C6" s="20" t="s">
        <v>66</v>
      </c>
    </row>
    <row r="7" spans="1:3" ht="20.100000000000001" customHeight="1" thickBot="1" x14ac:dyDescent="0.3">
      <c r="A7" s="2" t="s">
        <v>39</v>
      </c>
      <c r="C7" s="20" t="s">
        <v>67</v>
      </c>
    </row>
    <row r="8" spans="1:3" ht="20.100000000000001" customHeight="1" thickBot="1" x14ac:dyDescent="0.3">
      <c r="A8" s="2" t="s">
        <v>40</v>
      </c>
      <c r="C8" s="20" t="s">
        <v>68</v>
      </c>
    </row>
    <row r="9" spans="1:3" ht="20.100000000000001" customHeight="1" thickBot="1" x14ac:dyDescent="0.3">
      <c r="A9" s="2" t="s">
        <v>41</v>
      </c>
      <c r="C9" s="20" t="s">
        <v>69</v>
      </c>
    </row>
    <row r="10" spans="1:3" ht="20.100000000000001" customHeight="1" thickBot="1" x14ac:dyDescent="0.3">
      <c r="A10" s="2" t="s">
        <v>42</v>
      </c>
      <c r="C10" s="20" t="s">
        <v>70</v>
      </c>
    </row>
    <row r="11" spans="1:3" ht="20.100000000000001" customHeight="1" thickBot="1" x14ac:dyDescent="0.3">
      <c r="A11" s="2" t="s">
        <v>43</v>
      </c>
      <c r="C11" s="20" t="s">
        <v>71</v>
      </c>
    </row>
    <row r="12" spans="1:3" ht="20.100000000000001" customHeight="1" thickBot="1" x14ac:dyDescent="0.3">
      <c r="A12" s="2" t="s">
        <v>44</v>
      </c>
      <c r="C12" s="20" t="s">
        <v>72</v>
      </c>
    </row>
    <row r="13" spans="1:3" ht="20.100000000000001" customHeight="1" thickBot="1" x14ac:dyDescent="0.3">
      <c r="A13" s="2" t="s">
        <v>45</v>
      </c>
      <c r="C13" s="20" t="s">
        <v>73</v>
      </c>
    </row>
    <row r="14" spans="1:3" ht="20.100000000000001" customHeight="1" thickBot="1" x14ac:dyDescent="0.3">
      <c r="A14" s="2" t="s">
        <v>46</v>
      </c>
      <c r="C14" s="20" t="s">
        <v>74</v>
      </c>
    </row>
    <row r="15" spans="1:3" ht="20.100000000000001" customHeight="1" thickBot="1" x14ac:dyDescent="0.3">
      <c r="A15" s="2" t="s">
        <v>47</v>
      </c>
      <c r="C15" s="20" t="s">
        <v>75</v>
      </c>
    </row>
    <row r="16" spans="1:3" ht="20.100000000000001" customHeight="1" thickBot="1" x14ac:dyDescent="0.3">
      <c r="A16" s="2" t="s">
        <v>10</v>
      </c>
      <c r="C16" s="20" t="s">
        <v>76</v>
      </c>
    </row>
    <row r="17" spans="1:3" ht="20.100000000000001" customHeight="1" thickBot="1" x14ac:dyDescent="0.3">
      <c r="A17" s="2" t="s">
        <v>27</v>
      </c>
      <c r="C17" s="20" t="s">
        <v>77</v>
      </c>
    </row>
    <row r="18" spans="1:3" ht="20.100000000000001" customHeight="1" thickBot="1" x14ac:dyDescent="0.3">
      <c r="A18" s="2" t="s">
        <v>48</v>
      </c>
      <c r="C18" s="20" t="s">
        <v>78</v>
      </c>
    </row>
    <row r="19" spans="1:3" ht="20.100000000000001" customHeight="1" thickBot="1" x14ac:dyDescent="0.3">
      <c r="A19" s="2" t="s">
        <v>49</v>
      </c>
      <c r="C19" s="20" t="s">
        <v>79</v>
      </c>
    </row>
    <row r="20" spans="1:3" ht="20.100000000000001" customHeight="1" thickBot="1" x14ac:dyDescent="0.3">
      <c r="A20" s="2" t="s">
        <v>50</v>
      </c>
      <c r="C20" s="20" t="s">
        <v>80</v>
      </c>
    </row>
    <row r="21" spans="1:3" ht="20.100000000000001" customHeight="1" thickBot="1" x14ac:dyDescent="0.3">
      <c r="A21" s="2" t="s">
        <v>51</v>
      </c>
      <c r="C21" s="20" t="s">
        <v>81</v>
      </c>
    </row>
    <row r="22" spans="1:3" ht="20.100000000000001" customHeight="1" thickBot="1" x14ac:dyDescent="0.3">
      <c r="A22" s="2" t="s">
        <v>11</v>
      </c>
      <c r="C22" s="20" t="s">
        <v>82</v>
      </c>
    </row>
    <row r="23" spans="1:3" ht="20.100000000000001" customHeight="1" thickBot="1" x14ac:dyDescent="0.3">
      <c r="A23" s="2" t="s">
        <v>12</v>
      </c>
      <c r="C23" s="20" t="s">
        <v>83</v>
      </c>
    </row>
    <row r="24" spans="1:3" ht="20.100000000000001" customHeight="1" thickBot="1" x14ac:dyDescent="0.3">
      <c r="A24" s="2" t="s">
        <v>15</v>
      </c>
      <c r="C24" s="20" t="s">
        <v>84</v>
      </c>
    </row>
    <row r="25" spans="1:3" ht="20.100000000000001" customHeight="1" thickBot="1" x14ac:dyDescent="0.3">
      <c r="A25" s="2" t="s">
        <v>28</v>
      </c>
      <c r="C25" s="20" t="s">
        <v>85</v>
      </c>
    </row>
    <row r="26" spans="1:3" ht="20.100000000000001" customHeight="1" thickBot="1" x14ac:dyDescent="0.3">
      <c r="A26" s="2" t="s">
        <v>29</v>
      </c>
      <c r="C26" s="20" t="s">
        <v>86</v>
      </c>
    </row>
    <row r="27" spans="1:3" ht="20.100000000000001" customHeight="1" thickBot="1" x14ac:dyDescent="0.3">
      <c r="A27" s="2" t="s">
        <v>13</v>
      </c>
      <c r="C27" s="20" t="s">
        <v>87</v>
      </c>
    </row>
    <row r="28" spans="1:3" ht="20.100000000000001" customHeight="1" thickBot="1" x14ac:dyDescent="0.3">
      <c r="A28" s="2" t="s">
        <v>30</v>
      </c>
      <c r="C28" s="20" t="s">
        <v>88</v>
      </c>
    </row>
    <row r="29" spans="1:3" ht="20.100000000000001" customHeight="1" thickBot="1" x14ac:dyDescent="0.3">
      <c r="A29" s="2" t="s">
        <v>31</v>
      </c>
      <c r="C29" s="20" t="s">
        <v>177</v>
      </c>
    </row>
    <row r="30" spans="1:3" ht="20.100000000000001" customHeight="1" thickBot="1" x14ac:dyDescent="0.3">
      <c r="A30" s="2" t="s">
        <v>32</v>
      </c>
      <c r="C30" s="20" t="s">
        <v>178</v>
      </c>
    </row>
    <row r="31" spans="1:3" ht="20.100000000000001" customHeight="1" thickBot="1" x14ac:dyDescent="0.3">
      <c r="A31" s="2" t="s">
        <v>33</v>
      </c>
      <c r="C31" s="20" t="s">
        <v>179</v>
      </c>
    </row>
    <row r="32" spans="1:3" ht="20.100000000000001" customHeight="1" thickBot="1" x14ac:dyDescent="0.3">
      <c r="A32" s="2" t="s">
        <v>16</v>
      </c>
      <c r="C32" s="20"/>
    </row>
    <row r="33" spans="1:9" ht="20.100000000000001" customHeight="1" thickBot="1" x14ac:dyDescent="0.3">
      <c r="A33" s="2" t="s">
        <v>14</v>
      </c>
      <c r="C33" s="20"/>
    </row>
    <row r="34" spans="1:9" ht="20.100000000000001" customHeight="1" thickBot="1" x14ac:dyDescent="0.3">
      <c r="A34" s="2" t="s">
        <v>34</v>
      </c>
      <c r="C34" s="20"/>
    </row>
    <row r="35" spans="1:9" ht="20.100000000000001" customHeight="1" x14ac:dyDescent="0.25">
      <c r="A35" s="19"/>
    </row>
    <row r="36" spans="1:9" s="18" customFormat="1" ht="20.100000000000001" customHeight="1" x14ac:dyDescent="0.25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4">
        <v>45901</v>
      </c>
    </row>
    <row r="40" spans="1:9" ht="20.100000000000001" customHeight="1" thickBot="1" x14ac:dyDescent="0.3">
      <c r="A40" s="14">
        <v>45902</v>
      </c>
    </row>
    <row r="41" spans="1:9" ht="20.100000000000001" customHeight="1" thickBot="1" x14ac:dyDescent="0.3">
      <c r="A41" s="14">
        <v>45903</v>
      </c>
    </row>
    <row r="42" spans="1:9" ht="20.100000000000001" customHeight="1" thickBot="1" x14ac:dyDescent="0.3">
      <c r="A42" s="14">
        <v>45904</v>
      </c>
    </row>
    <row r="43" spans="1:9" ht="20.100000000000001" customHeight="1" thickBot="1" x14ac:dyDescent="0.3">
      <c r="A43" s="14">
        <v>45905</v>
      </c>
    </row>
    <row r="44" spans="1:9" ht="20.100000000000001" customHeight="1" thickBot="1" x14ac:dyDescent="0.3">
      <c r="A44" s="14">
        <v>45906</v>
      </c>
    </row>
    <row r="45" spans="1:9" ht="20.100000000000001" customHeight="1" thickBot="1" x14ac:dyDescent="0.3">
      <c r="A45" s="14">
        <v>45907</v>
      </c>
    </row>
    <row r="46" spans="1:9" ht="20.100000000000001" customHeight="1" thickBot="1" x14ac:dyDescent="0.3">
      <c r="A46" s="14">
        <v>45908</v>
      </c>
    </row>
    <row r="47" spans="1:9" ht="20.100000000000001" customHeight="1" thickBot="1" x14ac:dyDescent="0.3">
      <c r="A47" s="14">
        <v>45909</v>
      </c>
    </row>
    <row r="48" spans="1:9" ht="20.100000000000001" customHeight="1" thickBot="1" x14ac:dyDescent="0.3">
      <c r="A48" s="14">
        <v>45910</v>
      </c>
    </row>
    <row r="49" spans="1:1" ht="20.100000000000001" customHeight="1" thickBot="1" x14ac:dyDescent="0.3">
      <c r="A49" s="14">
        <v>45911</v>
      </c>
    </row>
    <row r="50" spans="1:1" ht="20.100000000000001" customHeight="1" thickBot="1" x14ac:dyDescent="0.3">
      <c r="A50" s="14">
        <v>45912</v>
      </c>
    </row>
    <row r="51" spans="1:1" ht="20.100000000000001" customHeight="1" thickBot="1" x14ac:dyDescent="0.3">
      <c r="A51" s="14">
        <v>45913</v>
      </c>
    </row>
    <row r="52" spans="1:1" ht="20.100000000000001" customHeight="1" thickBot="1" x14ac:dyDescent="0.3">
      <c r="A52" s="14">
        <v>45914</v>
      </c>
    </row>
    <row r="53" spans="1:1" ht="20.100000000000001" customHeight="1" thickBot="1" x14ac:dyDescent="0.3">
      <c r="A53" s="14">
        <v>45915</v>
      </c>
    </row>
    <row r="54" spans="1:1" ht="20.100000000000001" customHeight="1" thickBot="1" x14ac:dyDescent="0.3">
      <c r="A54" s="14">
        <v>45916</v>
      </c>
    </row>
    <row r="55" spans="1:1" ht="20.100000000000001" customHeight="1" thickBot="1" x14ac:dyDescent="0.3">
      <c r="A55" s="14">
        <v>45917</v>
      </c>
    </row>
    <row r="56" spans="1:1" ht="20.100000000000001" customHeight="1" thickBot="1" x14ac:dyDescent="0.3">
      <c r="A56" s="14">
        <v>45918</v>
      </c>
    </row>
    <row r="57" spans="1:1" ht="20.100000000000001" customHeight="1" thickBot="1" x14ac:dyDescent="0.3">
      <c r="A57" s="14">
        <v>45919</v>
      </c>
    </row>
    <row r="58" spans="1:1" ht="20.100000000000001" customHeight="1" thickBot="1" x14ac:dyDescent="0.3">
      <c r="A58" s="14">
        <v>45920</v>
      </c>
    </row>
    <row r="59" spans="1:1" ht="20.100000000000001" customHeight="1" thickBot="1" x14ac:dyDescent="0.3">
      <c r="A59" s="14">
        <v>45921</v>
      </c>
    </row>
    <row r="60" spans="1:1" ht="20.100000000000001" customHeight="1" thickBot="1" x14ac:dyDescent="0.3">
      <c r="A60" s="14">
        <v>45922</v>
      </c>
    </row>
    <row r="61" spans="1:1" ht="20.100000000000001" customHeight="1" thickBot="1" x14ac:dyDescent="0.3">
      <c r="A61" s="14">
        <v>45923</v>
      </c>
    </row>
    <row r="62" spans="1:1" ht="20.100000000000001" customHeight="1" thickBot="1" x14ac:dyDescent="0.3">
      <c r="A62" s="14">
        <v>45924</v>
      </c>
    </row>
    <row r="63" spans="1:1" ht="20.100000000000001" customHeight="1" thickBot="1" x14ac:dyDescent="0.3">
      <c r="A63" s="14">
        <v>45925</v>
      </c>
    </row>
    <row r="64" spans="1:1" ht="20.100000000000001" customHeight="1" thickBot="1" x14ac:dyDescent="0.3">
      <c r="A64" s="14">
        <v>45926</v>
      </c>
    </row>
    <row r="65" spans="1:1" ht="20.100000000000001" customHeight="1" thickBot="1" x14ac:dyDescent="0.3">
      <c r="A65" s="14">
        <v>45927</v>
      </c>
    </row>
    <row r="66" spans="1:1" ht="20.100000000000001" customHeight="1" thickBot="1" x14ac:dyDescent="0.3">
      <c r="A66" s="14">
        <v>45928</v>
      </c>
    </row>
    <row r="67" spans="1:1" ht="20.100000000000001" customHeight="1" thickBot="1" x14ac:dyDescent="0.3">
      <c r="A67" s="14">
        <v>45929</v>
      </c>
    </row>
    <row r="68" spans="1:1" ht="20.100000000000001" customHeight="1" thickBot="1" x14ac:dyDescent="0.3">
      <c r="A68" s="14">
        <v>45930</v>
      </c>
    </row>
    <row r="69" spans="1:1" ht="20.100000000000001" customHeight="1" thickBot="1" x14ac:dyDescent="0.3">
      <c r="A69" s="14">
        <v>45931</v>
      </c>
    </row>
    <row r="70" spans="1:1" ht="20.100000000000001" customHeight="1" thickBot="1" x14ac:dyDescent="0.3">
      <c r="A70" s="14">
        <v>45932</v>
      </c>
    </row>
    <row r="71" spans="1:1" ht="20.100000000000001" customHeight="1" thickBot="1" x14ac:dyDescent="0.3">
      <c r="A71" s="14">
        <v>45933</v>
      </c>
    </row>
    <row r="72" spans="1:1" ht="20.100000000000001" customHeight="1" thickBot="1" x14ac:dyDescent="0.3">
      <c r="A72" s="14">
        <v>45934</v>
      </c>
    </row>
    <row r="73" spans="1:1" ht="20.100000000000001" customHeight="1" thickBot="1" x14ac:dyDescent="0.3">
      <c r="A73" s="14">
        <v>45935</v>
      </c>
    </row>
    <row r="74" spans="1:1" ht="20.100000000000001" customHeight="1" thickBot="1" x14ac:dyDescent="0.3">
      <c r="A74" s="14">
        <v>45936</v>
      </c>
    </row>
    <row r="75" spans="1:1" ht="20.100000000000001" customHeight="1" thickBot="1" x14ac:dyDescent="0.3">
      <c r="A75" s="14">
        <v>45937</v>
      </c>
    </row>
    <row r="76" spans="1:1" ht="20.100000000000001" customHeight="1" thickBot="1" x14ac:dyDescent="0.3">
      <c r="A76" s="14">
        <v>45938</v>
      </c>
    </row>
    <row r="77" spans="1:1" ht="20.100000000000001" customHeight="1" thickBot="1" x14ac:dyDescent="0.3">
      <c r="A77" s="14">
        <v>45939</v>
      </c>
    </row>
    <row r="78" spans="1:1" ht="20.100000000000001" customHeight="1" thickBot="1" x14ac:dyDescent="0.3">
      <c r="A78" s="14">
        <v>45940</v>
      </c>
    </row>
    <row r="79" spans="1:1" ht="20.100000000000001" customHeight="1" thickBot="1" x14ac:dyDescent="0.3">
      <c r="A79" s="14">
        <v>45941</v>
      </c>
    </row>
    <row r="80" spans="1:1" ht="20.100000000000001" customHeight="1" thickBot="1" x14ac:dyDescent="0.3">
      <c r="A80" s="14">
        <v>45942</v>
      </c>
    </row>
    <row r="81" spans="1:1" ht="20.100000000000001" customHeight="1" thickBot="1" x14ac:dyDescent="0.3">
      <c r="A81" s="14">
        <v>45943</v>
      </c>
    </row>
    <row r="82" spans="1:1" ht="20.100000000000001" customHeight="1" thickBot="1" x14ac:dyDescent="0.3">
      <c r="A82" s="14">
        <v>45944</v>
      </c>
    </row>
    <row r="83" spans="1:1" ht="20.100000000000001" customHeight="1" thickBot="1" x14ac:dyDescent="0.3">
      <c r="A83" s="14">
        <v>45945</v>
      </c>
    </row>
    <row r="84" spans="1:1" ht="20.100000000000001" customHeight="1" thickBot="1" x14ac:dyDescent="0.3">
      <c r="A84" s="14">
        <v>45946</v>
      </c>
    </row>
    <row r="85" spans="1:1" ht="20.100000000000001" customHeight="1" thickBot="1" x14ac:dyDescent="0.3">
      <c r="A85" s="14">
        <v>45947</v>
      </c>
    </row>
    <row r="86" spans="1:1" ht="20.100000000000001" customHeight="1" thickBot="1" x14ac:dyDescent="0.3">
      <c r="A86" s="14">
        <v>45948</v>
      </c>
    </row>
    <row r="87" spans="1:1" ht="20.100000000000001" customHeight="1" thickBot="1" x14ac:dyDescent="0.3">
      <c r="A87" s="14">
        <v>45949</v>
      </c>
    </row>
    <row r="88" spans="1:1" ht="20.100000000000001" customHeight="1" thickBot="1" x14ac:dyDescent="0.3">
      <c r="A88" s="14">
        <v>45950</v>
      </c>
    </row>
    <row r="89" spans="1:1" ht="20.100000000000001" customHeight="1" thickBot="1" x14ac:dyDescent="0.3">
      <c r="A89" s="14">
        <v>45951</v>
      </c>
    </row>
    <row r="90" spans="1:1" ht="20.100000000000001" customHeight="1" thickBot="1" x14ac:dyDescent="0.3">
      <c r="A90" s="14">
        <v>45952</v>
      </c>
    </row>
    <row r="91" spans="1:1" ht="20.100000000000001" customHeight="1" thickBot="1" x14ac:dyDescent="0.3">
      <c r="A91" s="14">
        <v>45953</v>
      </c>
    </row>
    <row r="92" spans="1:1" ht="20.100000000000001" customHeight="1" thickBot="1" x14ac:dyDescent="0.3">
      <c r="A92" s="14">
        <v>45954</v>
      </c>
    </row>
    <row r="93" spans="1:1" ht="20.100000000000001" customHeight="1" thickBot="1" x14ac:dyDescent="0.3">
      <c r="A93" s="14">
        <v>45955</v>
      </c>
    </row>
    <row r="94" spans="1:1" ht="20.100000000000001" customHeight="1" thickBot="1" x14ac:dyDescent="0.3">
      <c r="A94" s="14">
        <v>45956</v>
      </c>
    </row>
    <row r="95" spans="1:1" ht="20.100000000000001" customHeight="1" thickBot="1" x14ac:dyDescent="0.3">
      <c r="A95" s="14">
        <v>45957</v>
      </c>
    </row>
    <row r="96" spans="1:1" ht="20.100000000000001" customHeight="1" thickBot="1" x14ac:dyDescent="0.3">
      <c r="A96" s="14">
        <v>45958</v>
      </c>
    </row>
    <row r="97" spans="1:9" ht="20.100000000000001" customHeight="1" thickBot="1" x14ac:dyDescent="0.3">
      <c r="A97" s="14">
        <v>45959</v>
      </c>
    </row>
    <row r="98" spans="1:9" ht="20.100000000000001" customHeight="1" thickBot="1" x14ac:dyDescent="0.3">
      <c r="A98" s="14">
        <v>45960</v>
      </c>
    </row>
    <row r="99" spans="1:9" ht="20.100000000000001" customHeight="1" thickBot="1" x14ac:dyDescent="0.3">
      <c r="A99" s="14">
        <v>45961</v>
      </c>
    </row>
    <row r="100" spans="1:9" ht="20.100000000000001" customHeight="1" thickBot="1" x14ac:dyDescent="0.3">
      <c r="A100" s="14">
        <v>45962</v>
      </c>
    </row>
    <row r="101" spans="1:9" ht="20.100000000000001" customHeight="1" thickBot="1" x14ac:dyDescent="0.3">
      <c r="A101" s="14">
        <v>45963</v>
      </c>
    </row>
    <row r="102" spans="1:9" ht="20.100000000000001" customHeight="1" thickBot="1" x14ac:dyDescent="0.3">
      <c r="A102" s="14">
        <v>45964</v>
      </c>
    </row>
    <row r="103" spans="1:9" ht="20.100000000000001" customHeight="1" thickBot="1" x14ac:dyDescent="0.3">
      <c r="A103" s="14">
        <v>45965</v>
      </c>
    </row>
    <row r="104" spans="1:9" ht="20.100000000000001" customHeight="1" thickBot="1" x14ac:dyDescent="0.3">
      <c r="A104" s="14">
        <v>45966</v>
      </c>
    </row>
    <row r="105" spans="1:9" ht="20.100000000000001" customHeight="1" thickBot="1" x14ac:dyDescent="0.3">
      <c r="A105" s="14">
        <v>45967</v>
      </c>
    </row>
    <row r="106" spans="1:9" ht="20.100000000000001" customHeight="1" thickBot="1" x14ac:dyDescent="0.3">
      <c r="A106" s="14">
        <v>45968</v>
      </c>
    </row>
    <row r="107" spans="1:9" ht="20.100000000000001" customHeight="1" x14ac:dyDescent="0.25">
      <c r="A107" s="15"/>
    </row>
    <row r="108" spans="1:9" ht="20.100000000000001" customHeight="1" x14ac:dyDescent="0.25">
      <c r="A108" s="15"/>
    </row>
    <row r="109" spans="1:9" s="18" customFormat="1" ht="20.100000000000001" customHeight="1" x14ac:dyDescent="0.25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59</v>
      </c>
    </row>
    <row r="199" spans="1:1" ht="20.100000000000001" customHeight="1" x14ac:dyDescent="0.25">
      <c r="A199" s="21" t="s">
        <v>89</v>
      </c>
    </row>
    <row r="200" spans="1:1" ht="20.100000000000001" customHeight="1" x14ac:dyDescent="0.25">
      <c r="A200" s="21" t="s">
        <v>90</v>
      </c>
    </row>
    <row r="201" spans="1:1" ht="20.100000000000001" customHeight="1" x14ac:dyDescent="0.25">
      <c r="A201" s="21" t="s">
        <v>91</v>
      </c>
    </row>
    <row r="202" spans="1:1" ht="20.100000000000001" customHeight="1" x14ac:dyDescent="0.25">
      <c r="A202" s="21" t="s">
        <v>92</v>
      </c>
    </row>
    <row r="203" spans="1:1" ht="20.100000000000001" customHeight="1" x14ac:dyDescent="0.25">
      <c r="A203" s="21" t="s">
        <v>93</v>
      </c>
    </row>
    <row r="204" spans="1:1" ht="20.100000000000001" customHeight="1" x14ac:dyDescent="0.25">
      <c r="A204" s="21" t="s">
        <v>94</v>
      </c>
    </row>
    <row r="205" spans="1:1" ht="20.100000000000001" customHeight="1" x14ac:dyDescent="0.25">
      <c r="A205" s="21" t="s">
        <v>95</v>
      </c>
    </row>
    <row r="206" spans="1:1" ht="20.100000000000001" customHeight="1" x14ac:dyDescent="0.25">
      <c r="A206" s="21" t="s">
        <v>96</v>
      </c>
    </row>
    <row r="207" spans="1:1" ht="20.100000000000001" customHeight="1" x14ac:dyDescent="0.25">
      <c r="A207" s="21" t="s">
        <v>97</v>
      </c>
    </row>
    <row r="208" spans="1:1" ht="20.100000000000001" customHeight="1" x14ac:dyDescent="0.25">
      <c r="A208" s="22" t="s">
        <v>98</v>
      </c>
    </row>
    <row r="209" spans="1:1" ht="20.100000000000001" customHeight="1" x14ac:dyDescent="0.25">
      <c r="A209" s="22" t="s">
        <v>99</v>
      </c>
    </row>
    <row r="210" spans="1:1" ht="20.100000000000001" customHeight="1" x14ac:dyDescent="0.25">
      <c r="A210" s="21" t="s">
        <v>100</v>
      </c>
    </row>
    <row r="211" spans="1:1" ht="20.100000000000001" customHeight="1" x14ac:dyDescent="0.25">
      <c r="A211" s="21" t="s">
        <v>101</v>
      </c>
    </row>
    <row r="212" spans="1:1" ht="20.100000000000001" customHeight="1" x14ac:dyDescent="0.25">
      <c r="A212" s="21" t="s">
        <v>175</v>
      </c>
    </row>
    <row r="213" spans="1:1" ht="20.100000000000001" customHeight="1" x14ac:dyDescent="0.25">
      <c r="A213" s="21" t="s">
        <v>102</v>
      </c>
    </row>
    <row r="214" spans="1:1" ht="20.100000000000001" customHeight="1" x14ac:dyDescent="0.25">
      <c r="A214" s="21" t="s">
        <v>103</v>
      </c>
    </row>
    <row r="215" spans="1:1" ht="20.100000000000001" customHeight="1" x14ac:dyDescent="0.25">
      <c r="A215" s="21" t="s">
        <v>104</v>
      </c>
    </row>
    <row r="216" spans="1:1" ht="20.100000000000001" customHeight="1" x14ac:dyDescent="0.25">
      <c r="A216" s="21" t="s">
        <v>105</v>
      </c>
    </row>
    <row r="217" spans="1:1" ht="20.100000000000001" customHeight="1" x14ac:dyDescent="0.25">
      <c r="A217" s="21" t="s">
        <v>106</v>
      </c>
    </row>
    <row r="218" spans="1:1" ht="20.100000000000001" customHeight="1" x14ac:dyDescent="0.25">
      <c r="A218" s="21" t="s">
        <v>107</v>
      </c>
    </row>
    <row r="219" spans="1:1" ht="20.100000000000001" customHeight="1" x14ac:dyDescent="0.25">
      <c r="A219" s="21" t="s">
        <v>108</v>
      </c>
    </row>
    <row r="220" spans="1:1" ht="20.100000000000001" customHeight="1" x14ac:dyDescent="0.25">
      <c r="A220" s="21" t="s">
        <v>109</v>
      </c>
    </row>
    <row r="221" spans="1:1" ht="20.100000000000001" customHeight="1" x14ac:dyDescent="0.25">
      <c r="A221" s="21" t="s">
        <v>110</v>
      </c>
    </row>
    <row r="222" spans="1:1" ht="20.100000000000001" customHeight="1" x14ac:dyDescent="0.25">
      <c r="A222" s="21" t="s">
        <v>111</v>
      </c>
    </row>
    <row r="223" spans="1:1" ht="20.100000000000001" customHeight="1" x14ac:dyDescent="0.25">
      <c r="A223" s="21" t="s">
        <v>112</v>
      </c>
    </row>
    <row r="224" spans="1:1" ht="20.100000000000001" customHeight="1" x14ac:dyDescent="0.25">
      <c r="A224" s="21" t="s">
        <v>176</v>
      </c>
    </row>
    <row r="225" spans="1:1" ht="20.100000000000001" customHeight="1" x14ac:dyDescent="0.25">
      <c r="A225" s="21" t="s">
        <v>113</v>
      </c>
    </row>
    <row r="226" spans="1:1" ht="20.100000000000001" customHeight="1" x14ac:dyDescent="0.25">
      <c r="A226" s="21" t="s">
        <v>114</v>
      </c>
    </row>
    <row r="227" spans="1:1" ht="20.100000000000001" customHeight="1" x14ac:dyDescent="0.25">
      <c r="A227" s="21" t="s">
        <v>115</v>
      </c>
    </row>
    <row r="228" spans="1:1" ht="20.100000000000001" customHeight="1" x14ac:dyDescent="0.25">
      <c r="A228" s="21" t="s">
        <v>116</v>
      </c>
    </row>
    <row r="229" spans="1:1" ht="20.100000000000001" customHeight="1" x14ac:dyDescent="0.25">
      <c r="A229" s="21" t="s">
        <v>117</v>
      </c>
    </row>
    <row r="230" spans="1:1" ht="20.100000000000001" customHeight="1" x14ac:dyDescent="0.25">
      <c r="A230" s="21" t="s">
        <v>118</v>
      </c>
    </row>
    <row r="231" spans="1:1" ht="20.100000000000001" customHeight="1" x14ac:dyDescent="0.25">
      <c r="A231" s="21" t="s">
        <v>119</v>
      </c>
    </row>
    <row r="232" spans="1:1" ht="20.100000000000001" customHeight="1" x14ac:dyDescent="0.25">
      <c r="A232" s="21" t="s">
        <v>120</v>
      </c>
    </row>
    <row r="233" spans="1:1" ht="20.100000000000001" customHeight="1" x14ac:dyDescent="0.25">
      <c r="A233" s="21" t="s">
        <v>121</v>
      </c>
    </row>
    <row r="234" spans="1:1" ht="20.100000000000001" customHeight="1" x14ac:dyDescent="0.25">
      <c r="A234" s="21" t="s">
        <v>122</v>
      </c>
    </row>
    <row r="235" spans="1:1" ht="20.100000000000001" customHeight="1" x14ac:dyDescent="0.25">
      <c r="A235" s="21" t="s">
        <v>123</v>
      </c>
    </row>
    <row r="236" spans="1:1" ht="20.100000000000001" customHeight="1" x14ac:dyDescent="0.25">
      <c r="A236" s="23" t="s">
        <v>124</v>
      </c>
    </row>
    <row r="237" spans="1:1" ht="20.100000000000001" customHeight="1" x14ac:dyDescent="0.25">
      <c r="A237" s="21" t="s">
        <v>125</v>
      </c>
    </row>
    <row r="238" spans="1:1" ht="20.100000000000001" customHeight="1" x14ac:dyDescent="0.25">
      <c r="A238" s="21" t="s">
        <v>126</v>
      </c>
    </row>
    <row r="239" spans="1:1" ht="20.100000000000001" customHeight="1" x14ac:dyDescent="0.25">
      <c r="A239" s="21" t="s">
        <v>127</v>
      </c>
    </row>
    <row r="240" spans="1:1" ht="20.100000000000001" customHeight="1" x14ac:dyDescent="0.25">
      <c r="A240" s="21" t="s">
        <v>128</v>
      </c>
    </row>
    <row r="241" spans="1:1" ht="20.100000000000001" customHeight="1" x14ac:dyDescent="0.25">
      <c r="A241" s="21" t="s">
        <v>129</v>
      </c>
    </row>
    <row r="242" spans="1:1" ht="20.100000000000001" customHeight="1" x14ac:dyDescent="0.25">
      <c r="A242" s="21" t="s">
        <v>130</v>
      </c>
    </row>
    <row r="243" spans="1:1" ht="20.100000000000001" customHeight="1" x14ac:dyDescent="0.25">
      <c r="A243" s="21" t="s">
        <v>131</v>
      </c>
    </row>
    <row r="244" spans="1:1" ht="20.100000000000001" customHeight="1" x14ac:dyDescent="0.25">
      <c r="A244" s="21" t="s">
        <v>132</v>
      </c>
    </row>
    <row r="245" spans="1:1" ht="20.100000000000001" customHeight="1" x14ac:dyDescent="0.25">
      <c r="A245" s="21" t="s">
        <v>133</v>
      </c>
    </row>
    <row r="246" spans="1:1" ht="20.100000000000001" customHeight="1" x14ac:dyDescent="0.25">
      <c r="A246" s="21" t="s">
        <v>134</v>
      </c>
    </row>
    <row r="247" spans="1:1" ht="20.100000000000001" customHeight="1" x14ac:dyDescent="0.25">
      <c r="A247" s="21" t="s">
        <v>135</v>
      </c>
    </row>
    <row r="248" spans="1:1" ht="20.100000000000001" customHeight="1" x14ac:dyDescent="0.25">
      <c r="A248" s="21" t="s">
        <v>126</v>
      </c>
    </row>
    <row r="249" spans="1:1" ht="20.100000000000001" customHeight="1" x14ac:dyDescent="0.25">
      <c r="A249" s="21" t="s">
        <v>136</v>
      </c>
    </row>
    <row r="250" spans="1:1" ht="20.100000000000001" customHeight="1" x14ac:dyDescent="0.25">
      <c r="A250" s="21" t="s">
        <v>137</v>
      </c>
    </row>
    <row r="251" spans="1:1" ht="20.100000000000001" customHeight="1" x14ac:dyDescent="0.25">
      <c r="A251" s="23" t="s">
        <v>138</v>
      </c>
    </row>
    <row r="252" spans="1:1" ht="20.100000000000001" customHeight="1" x14ac:dyDescent="0.25">
      <c r="A252" s="24" t="s">
        <v>139</v>
      </c>
    </row>
    <row r="253" spans="1:1" ht="20.100000000000001" customHeight="1" x14ac:dyDescent="0.25">
      <c r="A253" s="21" t="s">
        <v>140</v>
      </c>
    </row>
    <row r="254" spans="1:1" ht="20.100000000000001" customHeight="1" x14ac:dyDescent="0.25">
      <c r="A254" s="21" t="s">
        <v>141</v>
      </c>
    </row>
    <row r="255" spans="1:1" ht="20.100000000000001" customHeight="1" x14ac:dyDescent="0.25">
      <c r="A255" s="25" t="s">
        <v>142</v>
      </c>
    </row>
    <row r="256" spans="1:1" ht="20.100000000000001" customHeight="1" x14ac:dyDescent="0.25">
      <c r="A256" s="25" t="s">
        <v>143</v>
      </c>
    </row>
    <row r="257" spans="1:1" ht="20.100000000000001" customHeight="1" x14ac:dyDescent="0.25">
      <c r="A257" s="26" t="s">
        <v>144</v>
      </c>
    </row>
    <row r="258" spans="1:1" ht="20.100000000000001" customHeight="1" x14ac:dyDescent="0.25">
      <c r="A258" s="21" t="s">
        <v>145</v>
      </c>
    </row>
    <row r="259" spans="1:1" ht="20.100000000000001" customHeight="1" x14ac:dyDescent="0.25">
      <c r="A259" s="26" t="s">
        <v>146</v>
      </c>
    </row>
    <row r="260" spans="1:1" ht="20.100000000000001" customHeight="1" x14ac:dyDescent="0.25">
      <c r="A260" s="21" t="s">
        <v>147</v>
      </c>
    </row>
    <row r="261" spans="1:1" ht="20.100000000000001" customHeight="1" x14ac:dyDescent="0.25">
      <c r="A261" s="26" t="s">
        <v>148</v>
      </c>
    </row>
    <row r="262" spans="1:1" ht="20.100000000000001" customHeight="1" x14ac:dyDescent="0.25">
      <c r="A262" s="21" t="s">
        <v>149</v>
      </c>
    </row>
    <row r="263" spans="1:1" ht="20.100000000000001" customHeight="1" x14ac:dyDescent="0.25">
      <c r="A263" s="21" t="s">
        <v>150</v>
      </c>
    </row>
    <row r="264" spans="1:1" ht="20.100000000000001" customHeight="1" x14ac:dyDescent="0.25">
      <c r="A264" s="26" t="s">
        <v>151</v>
      </c>
    </row>
    <row r="265" spans="1:1" ht="20.100000000000001" customHeight="1" x14ac:dyDescent="0.25">
      <c r="A265" s="26" t="s">
        <v>152</v>
      </c>
    </row>
    <row r="266" spans="1:1" ht="20.100000000000001" customHeight="1" x14ac:dyDescent="0.25">
      <c r="A266" s="26" t="s">
        <v>153</v>
      </c>
    </row>
    <row r="267" spans="1:1" ht="20.100000000000001" customHeight="1" x14ac:dyDescent="0.25">
      <c r="A267" s="21" t="s">
        <v>154</v>
      </c>
    </row>
    <row r="268" spans="1:1" ht="20.100000000000001" customHeight="1" x14ac:dyDescent="0.25">
      <c r="A268" s="21" t="s">
        <v>155</v>
      </c>
    </row>
    <row r="269" spans="1:1" ht="20.100000000000001" customHeight="1" x14ac:dyDescent="0.25">
      <c r="A269" s="21" t="s">
        <v>156</v>
      </c>
    </row>
    <row r="270" spans="1:1" ht="20.100000000000001" customHeight="1" x14ac:dyDescent="0.25">
      <c r="A270" s="21" t="s">
        <v>157</v>
      </c>
    </row>
    <row r="271" spans="1:1" ht="20.100000000000001" customHeight="1" x14ac:dyDescent="0.25">
      <c r="A271" s="26" t="s">
        <v>158</v>
      </c>
    </row>
    <row r="272" spans="1:1" ht="20.100000000000001" customHeight="1" x14ac:dyDescent="0.25">
      <c r="A272" s="26" t="s">
        <v>159</v>
      </c>
    </row>
    <row r="273" spans="1:1" ht="20.100000000000001" customHeight="1" x14ac:dyDescent="0.25">
      <c r="A273" s="21" t="s">
        <v>160</v>
      </c>
    </row>
    <row r="274" spans="1:1" ht="20.100000000000001" customHeight="1" x14ac:dyDescent="0.25">
      <c r="A274" s="26" t="s">
        <v>161</v>
      </c>
    </row>
    <row r="275" spans="1:1" ht="20.100000000000001" customHeight="1" x14ac:dyDescent="0.25">
      <c r="A275" s="26" t="s">
        <v>162</v>
      </c>
    </row>
    <row r="276" spans="1:1" ht="20.100000000000001" customHeight="1" x14ac:dyDescent="0.25">
      <c r="A276" s="21" t="s">
        <v>163</v>
      </c>
    </row>
    <row r="277" spans="1:1" ht="20.100000000000001" customHeight="1" x14ac:dyDescent="0.25">
      <c r="A277" s="21" t="s">
        <v>164</v>
      </c>
    </row>
    <row r="278" spans="1:1" ht="20.100000000000001" customHeight="1" x14ac:dyDescent="0.25">
      <c r="A278" s="26" t="s">
        <v>165</v>
      </c>
    </row>
    <row r="279" spans="1:1" ht="20.100000000000001" customHeight="1" x14ac:dyDescent="0.25">
      <c r="A279" s="21" t="s">
        <v>166</v>
      </c>
    </row>
    <row r="280" spans="1:1" ht="20.100000000000001" customHeight="1" x14ac:dyDescent="0.25">
      <c r="A280" s="21" t="s">
        <v>167</v>
      </c>
    </row>
    <row r="281" spans="1:1" ht="20.100000000000001" customHeight="1" x14ac:dyDescent="0.25">
      <c r="A281" s="21" t="s">
        <v>168</v>
      </c>
    </row>
    <row r="282" spans="1:1" ht="20.100000000000001" customHeight="1" x14ac:dyDescent="0.25">
      <c r="A282" s="21" t="s">
        <v>169</v>
      </c>
    </row>
    <row r="283" spans="1:1" ht="20.100000000000001" customHeight="1" x14ac:dyDescent="0.25">
      <c r="A283" s="26" t="s">
        <v>170</v>
      </c>
    </row>
    <row r="284" spans="1:1" ht="20.100000000000001" customHeight="1" x14ac:dyDescent="0.25">
      <c r="A284" s="26" t="s">
        <v>171</v>
      </c>
    </row>
    <row r="285" spans="1:1" ht="20.100000000000001" customHeight="1" x14ac:dyDescent="0.25">
      <c r="A285" s="26" t="s">
        <v>172</v>
      </c>
    </row>
    <row r="286" spans="1:1" ht="20.100000000000001" customHeight="1" thickBot="1" x14ac:dyDescent="0.3">
      <c r="A286" s="21" t="s">
        <v>173</v>
      </c>
    </row>
    <row r="287" spans="1:1" ht="20.100000000000001" customHeight="1" thickBot="1" x14ac:dyDescent="0.3">
      <c r="A287" s="2" t="s">
        <v>58</v>
      </c>
    </row>
    <row r="288" spans="1:1" ht="20.100000000000001" customHeight="1" thickBot="1" x14ac:dyDescent="0.3">
      <c r="A288" s="2" t="s">
        <v>58</v>
      </c>
    </row>
    <row r="289" spans="1:1" ht="20.100000000000001" customHeight="1" thickBot="1" x14ac:dyDescent="0.3">
      <c r="A289" s="2" t="s">
        <v>58</v>
      </c>
    </row>
    <row r="290" spans="1:1" ht="20.100000000000001" customHeight="1" thickBot="1" x14ac:dyDescent="0.3">
      <c r="A290" s="2" t="s">
        <v>58</v>
      </c>
    </row>
    <row r="291" spans="1:1" ht="20.100000000000001" customHeight="1" thickBot="1" x14ac:dyDescent="0.3">
      <c r="A291" s="2" t="s">
        <v>58</v>
      </c>
    </row>
    <row r="292" spans="1:1" ht="20.100000000000001" customHeight="1" thickBot="1" x14ac:dyDescent="0.3">
      <c r="A292" s="2" t="s">
        <v>58</v>
      </c>
    </row>
    <row r="293" spans="1:1" ht="20.100000000000001" customHeight="1" thickBot="1" x14ac:dyDescent="0.3">
      <c r="A293" s="2" t="s">
        <v>58</v>
      </c>
    </row>
    <row r="294" spans="1:1" ht="20.100000000000001" customHeight="1" thickBot="1" x14ac:dyDescent="0.3">
      <c r="A294" s="2" t="s">
        <v>58</v>
      </c>
    </row>
    <row r="295" spans="1:1" ht="20.100000000000001" customHeight="1" thickBot="1" x14ac:dyDescent="0.3">
      <c r="A295" s="2" t="s">
        <v>58</v>
      </c>
    </row>
    <row r="296" spans="1:1" ht="20.100000000000001" customHeight="1" thickBot="1" x14ac:dyDescent="0.3">
      <c r="A296" s="2" t="s">
        <v>58</v>
      </c>
    </row>
    <row r="297" spans="1:1" ht="20.100000000000001" customHeight="1" thickBot="1" x14ac:dyDescent="0.3">
      <c r="A297" s="2" t="s">
        <v>58</v>
      </c>
    </row>
    <row r="298" spans="1:1" ht="20.100000000000001" customHeight="1" thickBot="1" x14ac:dyDescent="0.3">
      <c r="A298" s="2" t="s">
        <v>58</v>
      </c>
    </row>
    <row r="299" spans="1:1" ht="20.100000000000001" customHeight="1" thickBot="1" x14ac:dyDescent="0.3">
      <c r="A299" s="2" t="s">
        <v>58</v>
      </c>
    </row>
    <row r="300" spans="1:1" ht="20.100000000000001" customHeight="1" thickBot="1" x14ac:dyDescent="0.3">
      <c r="A300" s="2" t="s">
        <v>58</v>
      </c>
    </row>
    <row r="301" spans="1:1" ht="20.100000000000001" customHeight="1" thickBot="1" x14ac:dyDescent="0.3">
      <c r="A301" s="2" t="s">
        <v>58</v>
      </c>
    </row>
    <row r="302" spans="1:1" ht="20.100000000000001" customHeight="1" thickBot="1" x14ac:dyDescent="0.3">
      <c r="A302" s="2" t="s">
        <v>58</v>
      </c>
    </row>
    <row r="303" spans="1:1" ht="20.100000000000001" customHeight="1" thickBot="1" x14ac:dyDescent="0.3">
      <c r="A303" s="2" t="s">
        <v>58</v>
      </c>
    </row>
    <row r="304" spans="1:1" ht="20.100000000000001" customHeight="1" thickBot="1" x14ac:dyDescent="0.3">
      <c r="A304" s="2" t="s">
        <v>58</v>
      </c>
    </row>
    <row r="305" spans="1:1" ht="20.100000000000001" customHeight="1" thickBot="1" x14ac:dyDescent="0.3">
      <c r="A305" s="2" t="s">
        <v>58</v>
      </c>
    </row>
    <row r="306" spans="1:1" ht="20.100000000000001" customHeight="1" thickBot="1" x14ac:dyDescent="0.3">
      <c r="A306" s="2" t="s">
        <v>58</v>
      </c>
    </row>
    <row r="307" spans="1:1" ht="20.100000000000001" customHeight="1" thickBot="1" x14ac:dyDescent="0.3">
      <c r="A307" s="2" t="s">
        <v>58</v>
      </c>
    </row>
    <row r="308" spans="1:1" ht="20.100000000000001" customHeight="1" thickBot="1" x14ac:dyDescent="0.3">
      <c r="A308" s="2" t="s">
        <v>58</v>
      </c>
    </row>
    <row r="309" spans="1:1" ht="20.100000000000001" customHeight="1" thickBot="1" x14ac:dyDescent="0.3">
      <c r="A309" s="2" t="s">
        <v>58</v>
      </c>
    </row>
    <row r="310" spans="1:1" ht="20.100000000000001" customHeight="1" thickBot="1" x14ac:dyDescent="0.3">
      <c r="A310" s="2" t="s">
        <v>58</v>
      </c>
    </row>
    <row r="311" spans="1:1" ht="20.100000000000001" customHeight="1" thickBot="1" x14ac:dyDescent="0.3">
      <c r="A311" s="2" t="s">
        <v>58</v>
      </c>
    </row>
    <row r="312" spans="1:1" ht="20.100000000000001" customHeight="1" thickBot="1" x14ac:dyDescent="0.3">
      <c r="A312" s="2" t="s">
        <v>58</v>
      </c>
    </row>
    <row r="313" spans="1:1" ht="20.100000000000001" customHeight="1" thickBot="1" x14ac:dyDescent="0.3">
      <c r="A313" s="2" t="s">
        <v>58</v>
      </c>
    </row>
    <row r="314" spans="1:1" ht="20.100000000000001" customHeight="1" thickBot="1" x14ac:dyDescent="0.3">
      <c r="A314" s="2" t="s">
        <v>58</v>
      </c>
    </row>
    <row r="315" spans="1:1" ht="20.100000000000001" customHeight="1" thickBot="1" x14ac:dyDescent="0.3">
      <c r="A315" s="2" t="s">
        <v>58</v>
      </c>
    </row>
    <row r="316" spans="1:1" ht="20.100000000000001" customHeight="1" thickBot="1" x14ac:dyDescent="0.3">
      <c r="A316" s="2" t="s">
        <v>58</v>
      </c>
    </row>
    <row r="317" spans="1:1" ht="20.100000000000001" customHeight="1" thickBot="1" x14ac:dyDescent="0.3">
      <c r="A317" s="2" t="s">
        <v>58</v>
      </c>
    </row>
    <row r="318" spans="1:1" ht="20.100000000000001" customHeight="1" thickBot="1" x14ac:dyDescent="0.3">
      <c r="A318" s="2" t="s">
        <v>58</v>
      </c>
    </row>
    <row r="319" spans="1:1" ht="20.100000000000001" customHeight="1" thickBot="1" x14ac:dyDescent="0.3">
      <c r="A319" s="2" t="s">
        <v>58</v>
      </c>
    </row>
    <row r="320" spans="1:1" ht="20.100000000000001" customHeight="1" thickBot="1" x14ac:dyDescent="0.3">
      <c r="A320" s="2" t="s">
        <v>58</v>
      </c>
    </row>
    <row r="321" spans="1:1" ht="20.100000000000001" customHeight="1" thickBot="1" x14ac:dyDescent="0.3">
      <c r="A321" s="2" t="s">
        <v>58</v>
      </c>
    </row>
    <row r="322" spans="1:1" ht="20.100000000000001" customHeight="1" thickBot="1" x14ac:dyDescent="0.3">
      <c r="A322" s="2" t="s">
        <v>58</v>
      </c>
    </row>
    <row r="323" spans="1:1" ht="20.100000000000001" customHeight="1" thickBot="1" x14ac:dyDescent="0.3">
      <c r="A323" s="2" t="s">
        <v>58</v>
      </c>
    </row>
    <row r="324" spans="1:1" ht="20.100000000000001" customHeight="1" thickBot="1" x14ac:dyDescent="0.3">
      <c r="A324" s="2" t="s">
        <v>58</v>
      </c>
    </row>
    <row r="325" spans="1:1" ht="20.100000000000001" customHeight="1" thickBot="1" x14ac:dyDescent="0.3">
      <c r="A325" s="2" t="s">
        <v>58</v>
      </c>
    </row>
    <row r="326" spans="1:1" ht="20.100000000000001" customHeight="1" thickBot="1" x14ac:dyDescent="0.3">
      <c r="A326" s="2" t="s">
        <v>58</v>
      </c>
    </row>
    <row r="327" spans="1:1" ht="20.100000000000001" customHeight="1" thickBot="1" x14ac:dyDescent="0.3">
      <c r="A327" s="2" t="s">
        <v>58</v>
      </c>
    </row>
    <row r="328" spans="1:1" ht="20.100000000000001" customHeight="1" thickBot="1" x14ac:dyDescent="0.3">
      <c r="A328" s="2" t="s">
        <v>58</v>
      </c>
    </row>
    <row r="329" spans="1:1" ht="20.100000000000001" customHeight="1" thickBot="1" x14ac:dyDescent="0.3">
      <c r="A329" s="2" t="s">
        <v>58</v>
      </c>
    </row>
    <row r="330" spans="1:1" ht="20.100000000000001" customHeight="1" thickBot="1" x14ac:dyDescent="0.3">
      <c r="A330" s="2" t="s">
        <v>58</v>
      </c>
    </row>
    <row r="331" spans="1:1" ht="20.100000000000001" customHeight="1" thickBot="1" x14ac:dyDescent="0.3">
      <c r="A331" s="2" t="s">
        <v>58</v>
      </c>
    </row>
    <row r="332" spans="1:1" ht="20.100000000000001" customHeight="1" thickBot="1" x14ac:dyDescent="0.3">
      <c r="A332" s="2" t="s">
        <v>58</v>
      </c>
    </row>
    <row r="333" spans="1:1" ht="20.100000000000001" customHeight="1" thickBot="1" x14ac:dyDescent="0.3">
      <c r="A333" s="2" t="s">
        <v>58</v>
      </c>
    </row>
    <row r="334" spans="1:1" ht="20.100000000000001" customHeight="1" thickBot="1" x14ac:dyDescent="0.3">
      <c r="A334" s="2" t="s">
        <v>58</v>
      </c>
    </row>
    <row r="335" spans="1:1" ht="20.100000000000001" customHeight="1" thickBot="1" x14ac:dyDescent="0.3">
      <c r="A335" s="2" t="s">
        <v>58</v>
      </c>
    </row>
    <row r="336" spans="1:1" ht="20.100000000000001" customHeight="1" thickBot="1" x14ac:dyDescent="0.3">
      <c r="A336" s="2" t="s">
        <v>58</v>
      </c>
    </row>
    <row r="337" spans="1:1" ht="20.100000000000001" customHeight="1" thickBot="1" x14ac:dyDescent="0.3">
      <c r="A337" s="2" t="s">
        <v>58</v>
      </c>
    </row>
    <row r="338" spans="1:1" ht="20.100000000000001" customHeight="1" thickBot="1" x14ac:dyDescent="0.3">
      <c r="A338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2026-06-03T13:29:28Z</dcterms:modified>
</cp:coreProperties>
</file>